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\Desktop\Visual Studio Code Programs\3. Fall 2025 ADS Class\Assignments\p05-ads\"/>
    </mc:Choice>
  </mc:AlternateContent>
  <xr:revisionPtr revIDLastSave="0" documentId="13_ncr:1_{D88302D6-7C85-4958-89CB-EF2D3E41A37B}" xr6:coauthVersionLast="47" xr6:coauthVersionMax="47" xr10:uidLastSave="{00000000-0000-0000-0000-000000000000}"/>
  <bookViews>
    <workbookView xWindow="-108" yWindow="-108" windowWidth="23256" windowHeight="12456" xr2:uid="{6093581F-19D8-4910-B6E2-1014402AFB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Q5" i="1" s="1"/>
  <c r="Q6" i="1" s="1"/>
  <c r="Q7" i="1" s="1"/>
  <c r="Q8" i="1" s="1"/>
  <c r="Q9" i="1" s="1"/>
  <c r="Q10" i="1" s="1"/>
  <c r="Q11" i="1" s="1"/>
  <c r="Q12" i="1" s="1"/>
  <c r="Q3" i="1"/>
  <c r="B13" i="1"/>
  <c r="B18" i="1" s="1"/>
  <c r="B23" i="1" s="1"/>
  <c r="B28" i="1" s="1"/>
  <c r="B33" i="1" s="1"/>
  <c r="B38" i="1" s="1"/>
  <c r="B43" i="1" s="1"/>
  <c r="B48" i="1" s="1"/>
  <c r="B8" i="1"/>
  <c r="N48" i="1"/>
  <c r="N43" i="1"/>
  <c r="N38" i="1"/>
  <c r="N33" i="1"/>
  <c r="N28" i="1"/>
  <c r="N23" i="1"/>
  <c r="N18" i="1"/>
  <c r="N13" i="1"/>
  <c r="N8" i="1"/>
  <c r="N3" i="1"/>
  <c r="L48" i="1"/>
  <c r="L43" i="1"/>
  <c r="L38" i="1"/>
  <c r="L33" i="1"/>
  <c r="L28" i="1"/>
  <c r="L23" i="1"/>
  <c r="L18" i="1"/>
  <c r="L13" i="1"/>
  <c r="L8" i="1"/>
  <c r="L3" i="1"/>
  <c r="J48" i="1"/>
  <c r="J43" i="1"/>
  <c r="J38" i="1"/>
  <c r="J33" i="1"/>
  <c r="J28" i="1"/>
  <c r="J23" i="1"/>
  <c r="J18" i="1"/>
  <c r="J13" i="1"/>
  <c r="J8" i="1"/>
  <c r="J3" i="1"/>
  <c r="H48" i="1"/>
  <c r="H43" i="1"/>
  <c r="H38" i="1"/>
  <c r="H33" i="1"/>
  <c r="H28" i="1"/>
  <c r="H23" i="1"/>
  <c r="H18" i="1"/>
  <c r="H13" i="1"/>
  <c r="H8" i="1"/>
  <c r="H3" i="1"/>
  <c r="F48" i="1"/>
  <c r="F43" i="1"/>
  <c r="F38" i="1"/>
  <c r="F33" i="1"/>
  <c r="F28" i="1"/>
  <c r="F23" i="1"/>
  <c r="F18" i="1"/>
  <c r="F13" i="1"/>
  <c r="F8" i="1"/>
  <c r="F3" i="1"/>
  <c r="D48" i="1"/>
  <c r="D43" i="1"/>
  <c r="D38" i="1"/>
  <c r="D33" i="1"/>
  <c r="D28" i="1"/>
  <c r="D23" i="1"/>
  <c r="D18" i="1"/>
  <c r="D13" i="1"/>
  <c r="D8" i="1"/>
  <c r="D3" i="1"/>
</calcChain>
</file>

<file path=xl/sharedStrings.xml><?xml version="1.0" encoding="utf-8"?>
<sst xmlns="http://schemas.openxmlformats.org/spreadsheetml/2006/main" count="20" uniqueCount="14">
  <si>
    <t>Time 0</t>
  </si>
  <si>
    <t>Time 1</t>
  </si>
  <si>
    <t>Time 2</t>
  </si>
  <si>
    <t>Time 3</t>
  </si>
  <si>
    <t>Time 4</t>
  </si>
  <si>
    <t>Time 5</t>
  </si>
  <si>
    <t>Left Center</t>
  </si>
  <si>
    <t>First Element</t>
  </si>
  <si>
    <t>Random</t>
  </si>
  <si>
    <t>Median of 3 random</t>
  </si>
  <si>
    <t>Medain of FCL</t>
  </si>
  <si>
    <t>Mergesort</t>
  </si>
  <si>
    <t>Data Number</t>
  </si>
  <si>
    <t>Outliers changed to the average of one above and one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</si>
</sst>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Sorting Strategies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Sheet1!$R$2</c:f>
              <c:strCache>
                <c:ptCount val="1"/>
                <c:pt idx="0">
                  <c:v>Left Center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Sheet1!$Q$3:$Q$12</c:f>
              <c:numCache>
                <c:formatCode>General</c:formatCode>
                <c:ptCount val="10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</c:numCache>
            </c:numRef>
          </c:xVal>
          <c:yVal>
            <c:numRef>
              <c:f>Sheet1!$R$3:$R$12</c:f>
              <c:numCache>
                <c:formatCode>General</c:formatCode>
                <c:ptCount val="10"/>
                <c:pt idx="0">
                  <c:v>0</c:v>
                </c:pt>
                <c:pt idx="1">
                  <c:v>4.0000000000000002E-4</c:v>
                </c:pt>
                <c:pt idx="2">
                  <c:v>4.0000000000000002E-4</c:v>
                </c:pt>
                <c:pt idx="3">
                  <c:v>8.0000000000000004E-4</c:v>
                </c:pt>
                <c:pt idx="4">
                  <c:v>8.0000000000000004E-4</c:v>
                </c:pt>
                <c:pt idx="5">
                  <c:v>1.4E-3</c:v>
                </c:pt>
                <c:pt idx="6">
                  <c:v>1.6999999999999999E-3</c:v>
                </c:pt>
                <c:pt idx="7">
                  <c:v>2E-3</c:v>
                </c:pt>
                <c:pt idx="8">
                  <c:v>2.6000000000000003E-3</c:v>
                </c:pt>
                <c:pt idx="9">
                  <c:v>3.4000000000000002E-3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5B-494D-B9CF-6426BBEDA0CE}"/>
            </c:ext>
          </c:extLst>
        </c:ser>
        <c:ser>
          <c:idx val="1"/>
          <c:order val="1"/>
          <c:tx>
            <c:strRef>
              <c:f>Sheet1!$S$2</c:f>
              <c:strCache>
                <c:ptCount val="1"/>
                <c:pt idx="0">
                  <c:v>First Element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Sheet1!$Q$3:$Q$12</c:f>
              <c:numCache>
                <c:formatCode>General</c:formatCode>
                <c:ptCount val="10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</c:numCache>
            </c:numRef>
          </c:xVal>
          <c:yVal>
            <c:numRef>
              <c:f>Sheet1!$S$3:$S$12</c:f>
              <c:numCache>
                <c:formatCode>General</c:formatCode>
                <c:ptCount val="10"/>
                <c:pt idx="0">
                  <c:v>0</c:v>
                </c:pt>
                <c:pt idx="1">
                  <c:v>2.0000000000000001E-4</c:v>
                </c:pt>
                <c:pt idx="2">
                  <c:v>6.0000000000000006E-4</c:v>
                </c:pt>
                <c:pt idx="3">
                  <c:v>8.0000000000000004E-4</c:v>
                </c:pt>
                <c:pt idx="4">
                  <c:v>8.0000000000000004E-4</c:v>
                </c:pt>
                <c:pt idx="5">
                  <c:v>1.6000000000000001E-3</c:v>
                </c:pt>
                <c:pt idx="6">
                  <c:v>2E-3</c:v>
                </c:pt>
                <c:pt idx="7">
                  <c:v>2.3E-3</c:v>
                </c:pt>
                <c:pt idx="8">
                  <c:v>2.6000000000000003E-3</c:v>
                </c:pt>
                <c:pt idx="9">
                  <c:v>3.4000000000000002E-3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5B-494D-B9CF-6426BBEDA0CE}"/>
            </c:ext>
          </c:extLst>
        </c:ser>
        <c:ser>
          <c:idx val="2"/>
          <c:order val="2"/>
          <c:tx>
            <c:strRef>
              <c:f>Sheet1!$T$2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Sheet1!$Q$3:$Q$12</c:f>
              <c:numCache>
                <c:formatCode>General</c:formatCode>
                <c:ptCount val="10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</c:numCache>
            </c:numRef>
          </c:xVal>
          <c:yVal>
            <c:numRef>
              <c:f>Sheet1!$T$3:$T$12</c:f>
              <c:numCache>
                <c:formatCode>General</c:formatCode>
                <c:ptCount val="10"/>
                <c:pt idx="0">
                  <c:v>2.0000000000000001E-4</c:v>
                </c:pt>
                <c:pt idx="1">
                  <c:v>6.0000000000000006E-4</c:v>
                </c:pt>
                <c:pt idx="2">
                  <c:v>6.0000000000000006E-4</c:v>
                </c:pt>
                <c:pt idx="3">
                  <c:v>1E-3</c:v>
                </c:pt>
                <c:pt idx="4">
                  <c:v>1E-3</c:v>
                </c:pt>
                <c:pt idx="5">
                  <c:v>1.8000000000000002E-3</c:v>
                </c:pt>
                <c:pt idx="6">
                  <c:v>2.6000000000000003E-3</c:v>
                </c:pt>
                <c:pt idx="7">
                  <c:v>2.8000000000000004E-3</c:v>
                </c:pt>
                <c:pt idx="8">
                  <c:v>2.6000000000000003E-3</c:v>
                </c:pt>
                <c:pt idx="9">
                  <c:v>4.4000000000000003E-3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15B-494D-B9CF-6426BBEDA0CE}"/>
            </c:ext>
          </c:extLst>
        </c:ser>
        <c:ser>
          <c:idx val="3"/>
          <c:order val="3"/>
          <c:tx>
            <c:strRef>
              <c:f>Sheet1!$U$2</c:f>
              <c:strCache>
                <c:ptCount val="1"/>
                <c:pt idx="0">
                  <c:v>Median of 3 random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Sheet1!$Q$3:$Q$12</c:f>
              <c:numCache>
                <c:formatCode>General</c:formatCode>
                <c:ptCount val="10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</c:numCache>
            </c:numRef>
          </c:xVal>
          <c:yVal>
            <c:numRef>
              <c:f>Sheet1!$U$3:$U$12</c:f>
              <c:numCache>
                <c:formatCode>General</c:formatCode>
                <c:ptCount val="10"/>
                <c:pt idx="0">
                  <c:v>2.0000000000000001E-4</c:v>
                </c:pt>
                <c:pt idx="1">
                  <c:v>6.0000000000000006E-4</c:v>
                </c:pt>
                <c:pt idx="2">
                  <c:v>8.0000000000000004E-4</c:v>
                </c:pt>
                <c:pt idx="3">
                  <c:v>8.0000000000000004E-4</c:v>
                </c:pt>
                <c:pt idx="4">
                  <c:v>1.2000000000000001E-3</c:v>
                </c:pt>
                <c:pt idx="5">
                  <c:v>2E-3</c:v>
                </c:pt>
                <c:pt idx="6">
                  <c:v>3.0000000000000001E-3</c:v>
                </c:pt>
                <c:pt idx="7">
                  <c:v>3.8E-3</c:v>
                </c:pt>
                <c:pt idx="8">
                  <c:v>3.2000000000000002E-3</c:v>
                </c:pt>
                <c:pt idx="9">
                  <c:v>3.8E-3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15B-494D-B9CF-6426BBEDA0CE}"/>
            </c:ext>
          </c:extLst>
        </c:ser>
        <c:ser>
          <c:idx val="4"/>
          <c:order val="4"/>
          <c:tx>
            <c:strRef>
              <c:f>Sheet1!$V$2</c:f>
              <c:strCache>
                <c:ptCount val="1"/>
                <c:pt idx="0">
                  <c:v>Medain of FCL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Sheet1!$Q$3:$Q$12</c:f>
              <c:numCache>
                <c:formatCode>General</c:formatCode>
                <c:ptCount val="10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</c:numCache>
            </c:numRef>
          </c:xVal>
          <c:yVal>
            <c:numRef>
              <c:f>Sheet1!$V$3:$V$12</c:f>
              <c:numCache>
                <c:formatCode>General</c:formatCode>
                <c:ptCount val="10"/>
                <c:pt idx="0">
                  <c:v>0</c:v>
                </c:pt>
                <c:pt idx="1">
                  <c:v>6.0000000000000006E-4</c:v>
                </c:pt>
                <c:pt idx="2">
                  <c:v>8.0000000000000004E-4</c:v>
                </c:pt>
                <c:pt idx="3">
                  <c:v>8.0000000000000004E-4</c:v>
                </c:pt>
                <c:pt idx="4">
                  <c:v>1E-3</c:v>
                </c:pt>
                <c:pt idx="5">
                  <c:v>1.6000000000000001E-3</c:v>
                </c:pt>
                <c:pt idx="6">
                  <c:v>2E-3</c:v>
                </c:pt>
                <c:pt idx="7">
                  <c:v>2.3E-3</c:v>
                </c:pt>
                <c:pt idx="8">
                  <c:v>2.6000000000000003E-3</c:v>
                </c:pt>
                <c:pt idx="9">
                  <c:v>3.8E-3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15B-494D-B9CF-6426BBEDA0CE}"/>
            </c:ext>
          </c:extLst>
        </c:ser>
        <c:ser>
          <c:idx val="5"/>
          <c:order val="5"/>
          <c:tx>
            <c:strRef>
              <c:f>Sheet1!$W$2</c:f>
              <c:strCache>
                <c:ptCount val="1"/>
                <c:pt idx="0">
                  <c:v>Mergesort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Sheet1!$Q$3:$Q$12</c:f>
              <c:numCache>
                <c:formatCode>General</c:formatCode>
                <c:ptCount val="10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</c:numCache>
            </c:numRef>
          </c:xVal>
          <c:yVal>
            <c:numRef>
              <c:f>Sheet1!$W$3:$W$12</c:f>
              <c:numCache>
                <c:formatCode>General</c:formatCode>
                <c:ptCount val="10"/>
                <c:pt idx="0">
                  <c:v>8.0000000000000004E-4</c:v>
                </c:pt>
                <c:pt idx="1">
                  <c:v>1E-3</c:v>
                </c:pt>
                <c:pt idx="2">
                  <c:v>1E-3</c:v>
                </c:pt>
                <c:pt idx="3">
                  <c:v>1.2000000000000001E-3</c:v>
                </c:pt>
                <c:pt idx="4">
                  <c:v>1.4E-3</c:v>
                </c:pt>
                <c:pt idx="5">
                  <c:v>3.2000000000000002E-3</c:v>
                </c:pt>
                <c:pt idx="6">
                  <c:v>4.6000000000000008E-3</c:v>
                </c:pt>
                <c:pt idx="7">
                  <c:v>4.8000000000000004E-3</c:v>
                </c:pt>
                <c:pt idx="8">
                  <c:v>4.4000000000000003E-3</c:v>
                </c:pt>
                <c:pt idx="9">
                  <c:v>5.7999999999999996E-3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15B-494D-B9CF-6426BBEDA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719439"/>
        <c:axId val="1929718959"/>
      </c:scatterChart>
      <c:valAx>
        <c:axId val="192971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Keys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718959"/>
        <c:crosses val="autoZero"/>
        <c:crossBetween val="midCat"/>
      </c:valAx>
      <c:valAx>
        <c:axId val="192971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71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164812</xdr:colOff>
      <xdr:row>13</xdr:row>
      <xdr:rowOff>58973</xdr:rowOff>
    </xdr:from>
    <xdr:to>
      <xdr:col>21</xdr:col>
      <xdr:colOff>211040</xdr:colOff>
      <xdr:row>33</xdr:row>
      <xdr:rowOff>3888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3B54AF-65BD-9B22-DAC2-BD268F903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7388-F28B-4BB2-86D3-03A7CA7763CC}">
  <dimension ref="B1:W52"/>
  <sheetViews>
    <sheetView tabSelected="1" topLeftCell="D12" zoomScale="115" zoomScaleNormal="115" workbookViewId="0">
      <selection activeCell="W27" sqref="W27"/>
    </sheetView>
  </sheetViews>
  <sheetFormatPr defaultRowHeight="14.4" x14ac:dyDescent="0.3"/>
  <cols>
    <col min="2" max="2" width="6.109375" bestFit="1" customWidth="1"/>
    <col min="3" max="3" width="6.5546875" bestFit="1" customWidth="1"/>
    <col min="4" max="4" width="7.21875" bestFit="1" customWidth="1"/>
    <col min="5" max="5" width="6.5546875" bestFit="1" customWidth="1"/>
    <col min="6" max="6" width="7.21875" bestFit="1" customWidth="1"/>
    <col min="7" max="7" width="6.5546875" bestFit="1" customWidth="1"/>
    <col min="8" max="8" width="7.21875" bestFit="1" customWidth="1"/>
    <col min="9" max="9" width="6.5546875" bestFit="1" customWidth="1"/>
    <col min="10" max="10" width="7.21875" bestFit="1" customWidth="1"/>
    <col min="11" max="11" width="6.5546875" bestFit="1" customWidth="1"/>
    <col min="12" max="12" width="7.21875" bestFit="1" customWidth="1"/>
    <col min="13" max="13" width="6.5546875" bestFit="1" customWidth="1"/>
    <col min="14" max="14" width="7.21875" bestFit="1" customWidth="1"/>
    <col min="17" max="17" width="11.88671875" bestFit="1" customWidth="1"/>
    <col min="18" max="18" width="10.21875" bestFit="1" customWidth="1"/>
    <col min="19" max="19" width="12.109375" bestFit="1" customWidth="1"/>
    <col min="20" max="20" width="8" bestFit="1" customWidth="1"/>
    <col min="21" max="21" width="17.6640625" bestFit="1" customWidth="1"/>
    <col min="22" max="22" width="12.77734375" bestFit="1" customWidth="1"/>
    <col min="23" max="23" width="9.44140625" bestFit="1" customWidth="1"/>
  </cols>
  <sheetData>
    <row r="1" spans="2:23" ht="15" thickBot="1" x14ac:dyDescent="0.35">
      <c r="C1" s="2" t="s">
        <v>6</v>
      </c>
      <c r="D1" s="3"/>
      <c r="E1" s="2" t="s">
        <v>7</v>
      </c>
      <c r="F1" s="3"/>
      <c r="G1" s="2" t="s">
        <v>8</v>
      </c>
      <c r="H1" s="3"/>
      <c r="I1" s="2" t="s">
        <v>9</v>
      </c>
      <c r="J1" s="3"/>
      <c r="K1" s="2" t="s">
        <v>10</v>
      </c>
      <c r="L1" s="3"/>
      <c r="M1" s="2" t="s">
        <v>11</v>
      </c>
      <c r="N1" s="3"/>
    </row>
    <row r="2" spans="2:23" x14ac:dyDescent="0.3">
      <c r="C2" t="s">
        <v>0</v>
      </c>
      <c r="E2" t="s">
        <v>1</v>
      </c>
      <c r="G2" t="s">
        <v>2</v>
      </c>
      <c r="I2" t="s">
        <v>3</v>
      </c>
      <c r="K2" t="s">
        <v>4</v>
      </c>
      <c r="M2" t="s">
        <v>5</v>
      </c>
      <c r="Q2" s="4" t="s">
        <v>12</v>
      </c>
      <c r="R2" s="4" t="s">
        <v>6</v>
      </c>
      <c r="S2" s="4" t="s">
        <v>7</v>
      </c>
      <c r="T2" s="4" t="s">
        <v>8</v>
      </c>
      <c r="U2" s="4" t="s">
        <v>9</v>
      </c>
      <c r="V2" s="4" t="s">
        <v>10</v>
      </c>
      <c r="W2" s="4" t="s">
        <v>11</v>
      </c>
    </row>
    <row r="3" spans="2:23" x14ac:dyDescent="0.3">
      <c r="B3" s="1">
        <v>2000</v>
      </c>
      <c r="C3">
        <v>0</v>
      </c>
      <c r="D3">
        <f>AVERAGE(C3:C7)</f>
        <v>0</v>
      </c>
      <c r="E3">
        <v>0</v>
      </c>
      <c r="F3">
        <f>AVERAGE(E3:E7)</f>
        <v>0</v>
      </c>
      <c r="G3">
        <v>1E-3</v>
      </c>
      <c r="H3">
        <f>AVERAGE(G3:G7)</f>
        <v>2.0000000000000001E-4</v>
      </c>
      <c r="I3">
        <v>0</v>
      </c>
      <c r="J3">
        <f>AVERAGE(I3:I7)</f>
        <v>2.0000000000000001E-4</v>
      </c>
      <c r="K3">
        <v>0</v>
      </c>
      <c r="L3">
        <f>AVERAGE(K3:K7)</f>
        <v>0</v>
      </c>
      <c r="M3">
        <v>1E-3</v>
      </c>
      <c r="N3">
        <f>AVERAGE(M3:M7)</f>
        <v>8.0000000000000004E-4</v>
      </c>
      <c r="Q3" s="5">
        <f>2000</f>
        <v>2000</v>
      </c>
      <c r="R3" s="5">
        <v>0</v>
      </c>
      <c r="S3" s="5">
        <v>0</v>
      </c>
      <c r="T3" s="5">
        <v>2.0000000000000001E-4</v>
      </c>
      <c r="U3" s="5">
        <v>2.0000000000000001E-4</v>
      </c>
      <c r="V3" s="5">
        <v>0</v>
      </c>
      <c r="W3" s="5">
        <v>8.0000000000000004E-4</v>
      </c>
    </row>
    <row r="4" spans="2:23" x14ac:dyDescent="0.3">
      <c r="B4" s="1"/>
      <c r="C4">
        <v>0</v>
      </c>
      <c r="E4">
        <v>0</v>
      </c>
      <c r="G4">
        <v>0</v>
      </c>
      <c r="I4">
        <v>0</v>
      </c>
      <c r="K4">
        <v>0</v>
      </c>
      <c r="M4">
        <v>0</v>
      </c>
      <c r="Q4" s="5">
        <f>Q3+2000</f>
        <v>4000</v>
      </c>
      <c r="R4" s="5">
        <v>4.0000000000000002E-4</v>
      </c>
      <c r="S4" s="5">
        <v>2.0000000000000001E-4</v>
      </c>
      <c r="T4" s="5">
        <v>6.0000000000000006E-4</v>
      </c>
      <c r="U4" s="5">
        <v>6.0000000000000006E-4</v>
      </c>
      <c r="V4" s="5">
        <v>6.0000000000000006E-4</v>
      </c>
      <c r="W4" s="5">
        <v>1E-3</v>
      </c>
    </row>
    <row r="5" spans="2:23" x14ac:dyDescent="0.3">
      <c r="B5" s="1"/>
      <c r="C5">
        <v>0</v>
      </c>
      <c r="E5">
        <v>0</v>
      </c>
      <c r="G5">
        <v>0</v>
      </c>
      <c r="I5">
        <v>0</v>
      </c>
      <c r="K5">
        <v>0</v>
      </c>
      <c r="M5">
        <v>1E-3</v>
      </c>
      <c r="Q5" s="5">
        <f t="shared" ref="Q5:Q12" si="0">Q4+2000</f>
        <v>6000</v>
      </c>
      <c r="R5" s="5">
        <v>4.0000000000000002E-4</v>
      </c>
      <c r="S5" s="5">
        <v>6.0000000000000006E-4</v>
      </c>
      <c r="T5" s="5">
        <v>6.0000000000000006E-4</v>
      </c>
      <c r="U5" s="5">
        <v>8.0000000000000004E-4</v>
      </c>
      <c r="V5" s="5">
        <v>8.0000000000000004E-4</v>
      </c>
      <c r="W5" s="5">
        <v>1E-3</v>
      </c>
    </row>
    <row r="6" spans="2:23" x14ac:dyDescent="0.3">
      <c r="B6" s="1"/>
      <c r="C6">
        <v>0</v>
      </c>
      <c r="E6">
        <v>0</v>
      </c>
      <c r="G6">
        <v>0</v>
      </c>
      <c r="I6">
        <v>0</v>
      </c>
      <c r="K6">
        <v>0</v>
      </c>
      <c r="M6">
        <v>1E-3</v>
      </c>
      <c r="Q6" s="5">
        <f t="shared" si="0"/>
        <v>8000</v>
      </c>
      <c r="R6" s="5">
        <v>8.0000000000000004E-4</v>
      </c>
      <c r="S6" s="5">
        <v>8.0000000000000004E-4</v>
      </c>
      <c r="T6" s="5">
        <v>1E-3</v>
      </c>
      <c r="U6" s="5">
        <v>8.0000000000000004E-4</v>
      </c>
      <c r="V6" s="5">
        <v>8.0000000000000004E-4</v>
      </c>
      <c r="W6" s="5">
        <v>1.2000000000000001E-3</v>
      </c>
    </row>
    <row r="7" spans="2:23" x14ac:dyDescent="0.3">
      <c r="B7" s="1"/>
      <c r="C7">
        <v>0</v>
      </c>
      <c r="E7">
        <v>0</v>
      </c>
      <c r="G7">
        <v>0</v>
      </c>
      <c r="I7">
        <v>1E-3</v>
      </c>
      <c r="K7">
        <v>0</v>
      </c>
      <c r="M7">
        <v>1E-3</v>
      </c>
      <c r="Q7" s="5">
        <f t="shared" si="0"/>
        <v>10000</v>
      </c>
      <c r="R7" s="5">
        <v>8.0000000000000004E-4</v>
      </c>
      <c r="S7" s="5">
        <v>8.0000000000000004E-4</v>
      </c>
      <c r="T7" s="5">
        <v>1E-3</v>
      </c>
      <c r="U7" s="5">
        <v>1.2000000000000001E-3</v>
      </c>
      <c r="V7" s="5">
        <v>1E-3</v>
      </c>
      <c r="W7" s="5">
        <v>1.4E-3</v>
      </c>
    </row>
    <row r="8" spans="2:23" x14ac:dyDescent="0.3">
      <c r="B8" s="1">
        <f>B3+2000</f>
        <v>4000</v>
      </c>
      <c r="C8">
        <v>1E-3</v>
      </c>
      <c r="D8">
        <f>AVERAGE(C8:C12)</f>
        <v>4.0000000000000002E-4</v>
      </c>
      <c r="E8">
        <v>0</v>
      </c>
      <c r="F8">
        <f>AVERAGE(E8:E12)</f>
        <v>2.0000000000000001E-4</v>
      </c>
      <c r="G8">
        <v>0</v>
      </c>
      <c r="H8">
        <f>AVERAGE(G8:G12)</f>
        <v>6.0000000000000006E-4</v>
      </c>
      <c r="I8">
        <v>0</v>
      </c>
      <c r="J8">
        <f>AVERAGE(I8:I12)</f>
        <v>6.0000000000000006E-4</v>
      </c>
      <c r="K8">
        <v>1E-3</v>
      </c>
      <c r="L8">
        <f>AVERAGE(K8:K12)</f>
        <v>6.0000000000000006E-4</v>
      </c>
      <c r="M8">
        <v>1E-3</v>
      </c>
      <c r="N8">
        <f>AVERAGE(M8:M12)</f>
        <v>1E-3</v>
      </c>
      <c r="Q8" s="5">
        <f t="shared" si="0"/>
        <v>12000</v>
      </c>
      <c r="R8" s="5">
        <v>1.4E-3</v>
      </c>
      <c r="S8" s="5">
        <v>1.6000000000000001E-3</v>
      </c>
      <c r="T8" s="5">
        <v>1.8000000000000002E-3</v>
      </c>
      <c r="U8" s="5">
        <v>2E-3</v>
      </c>
      <c r="V8" s="5">
        <v>1.6000000000000001E-3</v>
      </c>
      <c r="W8" s="5">
        <v>3.2000000000000002E-3</v>
      </c>
    </row>
    <row r="9" spans="2:23" x14ac:dyDescent="0.3">
      <c r="B9" s="1"/>
      <c r="C9">
        <v>0</v>
      </c>
      <c r="E9">
        <v>0</v>
      </c>
      <c r="G9">
        <v>1E-3</v>
      </c>
      <c r="I9">
        <v>1E-3</v>
      </c>
      <c r="K9">
        <v>0</v>
      </c>
      <c r="M9">
        <v>1E-3</v>
      </c>
      <c r="Q9" s="5">
        <f t="shared" si="0"/>
        <v>14000</v>
      </c>
      <c r="R9" s="7">
        <v>1.6999999999999999E-3</v>
      </c>
      <c r="S9" s="5">
        <v>2E-3</v>
      </c>
      <c r="T9" s="5">
        <v>2.6000000000000003E-3</v>
      </c>
      <c r="U9" s="5">
        <v>3.0000000000000001E-3</v>
      </c>
      <c r="V9" s="5">
        <v>2E-3</v>
      </c>
      <c r="W9" s="5">
        <v>4.6000000000000008E-3</v>
      </c>
    </row>
    <row r="10" spans="2:23" x14ac:dyDescent="0.3">
      <c r="B10" s="1"/>
      <c r="C10">
        <v>0</v>
      </c>
      <c r="E10">
        <v>0</v>
      </c>
      <c r="G10">
        <v>1E-3</v>
      </c>
      <c r="I10">
        <v>1E-3</v>
      </c>
      <c r="K10">
        <v>0</v>
      </c>
      <c r="M10">
        <v>1E-3</v>
      </c>
      <c r="Q10" s="5">
        <f t="shared" si="0"/>
        <v>16000</v>
      </c>
      <c r="R10" s="5">
        <v>2E-3</v>
      </c>
      <c r="S10" s="7">
        <v>2.3E-3</v>
      </c>
      <c r="T10" s="5">
        <v>2.8000000000000004E-3</v>
      </c>
      <c r="U10" s="5">
        <v>3.8E-3</v>
      </c>
      <c r="V10" s="7">
        <v>2.3E-3</v>
      </c>
      <c r="W10" s="5">
        <v>4.8000000000000004E-3</v>
      </c>
    </row>
    <row r="11" spans="2:23" x14ac:dyDescent="0.3">
      <c r="B11" s="1"/>
      <c r="C11">
        <v>1E-3</v>
      </c>
      <c r="E11">
        <v>0</v>
      </c>
      <c r="G11">
        <v>0</v>
      </c>
      <c r="I11">
        <v>0</v>
      </c>
      <c r="K11">
        <v>1E-3</v>
      </c>
      <c r="M11">
        <v>1E-3</v>
      </c>
      <c r="Q11" s="5">
        <f t="shared" si="0"/>
        <v>18000</v>
      </c>
      <c r="R11" s="5">
        <v>2.6000000000000003E-3</v>
      </c>
      <c r="S11" s="5">
        <v>2.6000000000000003E-3</v>
      </c>
      <c r="T11" s="5">
        <v>2.6000000000000003E-3</v>
      </c>
      <c r="U11" s="5">
        <v>3.2000000000000002E-3</v>
      </c>
      <c r="V11" s="5">
        <v>2.6000000000000003E-3</v>
      </c>
      <c r="W11" s="5">
        <v>4.4000000000000003E-3</v>
      </c>
    </row>
    <row r="12" spans="2:23" ht="15" thickBot="1" x14ac:dyDescent="0.35">
      <c r="B12" s="1"/>
      <c r="C12">
        <v>0</v>
      </c>
      <c r="E12">
        <v>1E-3</v>
      </c>
      <c r="G12">
        <v>1E-3</v>
      </c>
      <c r="I12">
        <v>1E-3</v>
      </c>
      <c r="K12">
        <v>1E-3</v>
      </c>
      <c r="M12">
        <v>1E-3</v>
      </c>
      <c r="Q12" s="6">
        <f t="shared" si="0"/>
        <v>20000</v>
      </c>
      <c r="R12" s="6">
        <v>3.4000000000000002E-3</v>
      </c>
      <c r="S12" s="6">
        <v>3.4000000000000002E-3</v>
      </c>
      <c r="T12" s="6">
        <v>4.4000000000000003E-3</v>
      </c>
      <c r="U12" s="6">
        <v>3.8E-3</v>
      </c>
      <c r="V12" s="6">
        <v>3.8E-3</v>
      </c>
      <c r="W12" s="6">
        <v>5.7999999999999996E-3</v>
      </c>
    </row>
    <row r="13" spans="2:23" ht="15" thickBot="1" x14ac:dyDescent="0.35">
      <c r="B13" s="1">
        <f t="shared" ref="B13" si="1">B8+2000</f>
        <v>6000</v>
      </c>
      <c r="C13">
        <v>1E-3</v>
      </c>
      <c r="D13">
        <f>AVERAGE(C13:C17)</f>
        <v>4.0000000000000002E-4</v>
      </c>
      <c r="E13">
        <v>1E-3</v>
      </c>
      <c r="F13">
        <f>AVERAGE(E13:E17)</f>
        <v>6.0000000000000006E-4</v>
      </c>
      <c r="G13">
        <v>0</v>
      </c>
      <c r="H13">
        <f>AVERAGE(G13:G17)</f>
        <v>6.0000000000000006E-4</v>
      </c>
      <c r="I13">
        <v>0</v>
      </c>
      <c r="J13">
        <f>AVERAGE(I13:I17)</f>
        <v>8.0000000000000004E-4</v>
      </c>
      <c r="K13">
        <v>0</v>
      </c>
      <c r="L13">
        <f>AVERAGE(K13:K17)</f>
        <v>8.0000000000000004E-4</v>
      </c>
      <c r="M13">
        <v>1E-3</v>
      </c>
      <c r="N13">
        <f>AVERAGE(M13:M17)</f>
        <v>1E-3</v>
      </c>
      <c r="Q13" s="8" t="s">
        <v>13</v>
      </c>
      <c r="R13" s="9"/>
      <c r="S13" s="9"/>
      <c r="T13" s="9"/>
      <c r="U13" s="9"/>
      <c r="V13" s="9"/>
      <c r="W13" s="10"/>
    </row>
    <row r="14" spans="2:23" x14ac:dyDescent="0.3">
      <c r="B14" s="1"/>
      <c r="C14">
        <v>1E-3</v>
      </c>
      <c r="E14">
        <v>1E-3</v>
      </c>
      <c r="G14">
        <v>1E-3</v>
      </c>
      <c r="I14">
        <v>1E-3</v>
      </c>
      <c r="K14">
        <v>1E-3</v>
      </c>
      <c r="M14">
        <v>1E-3</v>
      </c>
    </row>
    <row r="15" spans="2:23" x14ac:dyDescent="0.3">
      <c r="B15" s="1"/>
      <c r="C15">
        <v>0</v>
      </c>
      <c r="E15">
        <v>1E-3</v>
      </c>
      <c r="G15">
        <v>1E-3</v>
      </c>
      <c r="I15">
        <v>1E-3</v>
      </c>
      <c r="K15">
        <v>1E-3</v>
      </c>
      <c r="M15">
        <v>1E-3</v>
      </c>
    </row>
    <row r="16" spans="2:23" x14ac:dyDescent="0.3">
      <c r="B16" s="1"/>
      <c r="C16">
        <v>0</v>
      </c>
      <c r="E16">
        <v>0</v>
      </c>
      <c r="G16">
        <v>1E-3</v>
      </c>
      <c r="I16">
        <v>1E-3</v>
      </c>
      <c r="K16">
        <v>1E-3</v>
      </c>
      <c r="M16">
        <v>1E-3</v>
      </c>
    </row>
    <row r="17" spans="2:14" x14ac:dyDescent="0.3">
      <c r="B17" s="1"/>
      <c r="C17">
        <v>0</v>
      </c>
      <c r="E17">
        <v>0</v>
      </c>
      <c r="G17">
        <v>0</v>
      </c>
      <c r="I17">
        <v>1E-3</v>
      </c>
      <c r="K17">
        <v>1E-3</v>
      </c>
      <c r="M17">
        <v>1E-3</v>
      </c>
    </row>
    <row r="18" spans="2:14" x14ac:dyDescent="0.3">
      <c r="B18" s="1">
        <f t="shared" ref="B18" si="2">B13+2000</f>
        <v>8000</v>
      </c>
      <c r="C18">
        <v>1E-3</v>
      </c>
      <c r="D18">
        <f t="shared" ref="D18:F18" si="3">AVERAGE(C18:C22)</f>
        <v>8.0000000000000004E-4</v>
      </c>
      <c r="E18">
        <v>1E-3</v>
      </c>
      <c r="F18">
        <f t="shared" si="3"/>
        <v>8.0000000000000004E-4</v>
      </c>
      <c r="G18">
        <v>1E-3</v>
      </c>
      <c r="H18">
        <f t="shared" ref="H18:J18" si="4">AVERAGE(G18:G22)</f>
        <v>1E-3</v>
      </c>
      <c r="I18">
        <v>1E-3</v>
      </c>
      <c r="J18">
        <f t="shared" si="4"/>
        <v>8.0000000000000004E-4</v>
      </c>
      <c r="K18">
        <v>0</v>
      </c>
      <c r="L18">
        <f t="shared" ref="L18:N18" si="5">AVERAGE(K18:K22)</f>
        <v>8.0000000000000004E-4</v>
      </c>
      <c r="M18">
        <v>1E-3</v>
      </c>
      <c r="N18">
        <f t="shared" si="5"/>
        <v>1.2000000000000001E-3</v>
      </c>
    </row>
    <row r="19" spans="2:14" x14ac:dyDescent="0.3">
      <c r="B19" s="1"/>
      <c r="C19">
        <v>1E-3</v>
      </c>
      <c r="E19">
        <v>1E-3</v>
      </c>
      <c r="G19">
        <v>1E-3</v>
      </c>
      <c r="I19">
        <v>0</v>
      </c>
      <c r="K19">
        <v>1E-3</v>
      </c>
      <c r="M19">
        <v>1E-3</v>
      </c>
    </row>
    <row r="20" spans="2:14" x14ac:dyDescent="0.3">
      <c r="B20" s="1"/>
      <c r="C20">
        <v>1E-3</v>
      </c>
      <c r="E20">
        <v>0</v>
      </c>
      <c r="G20">
        <v>1E-3</v>
      </c>
      <c r="I20">
        <v>1E-3</v>
      </c>
      <c r="K20">
        <v>1E-3</v>
      </c>
      <c r="M20">
        <v>1E-3</v>
      </c>
    </row>
    <row r="21" spans="2:14" x14ac:dyDescent="0.3">
      <c r="B21" s="1"/>
      <c r="C21">
        <v>0</v>
      </c>
      <c r="E21">
        <v>1E-3</v>
      </c>
      <c r="G21">
        <v>1E-3</v>
      </c>
      <c r="I21">
        <v>1E-3</v>
      </c>
      <c r="K21">
        <v>1E-3</v>
      </c>
      <c r="M21">
        <v>1E-3</v>
      </c>
    </row>
    <row r="22" spans="2:14" x14ac:dyDescent="0.3">
      <c r="B22" s="1"/>
      <c r="C22">
        <v>1E-3</v>
      </c>
      <c r="E22">
        <v>1E-3</v>
      </c>
      <c r="G22">
        <v>1E-3</v>
      </c>
      <c r="I22">
        <v>1E-3</v>
      </c>
      <c r="K22">
        <v>1E-3</v>
      </c>
      <c r="M22">
        <v>2E-3</v>
      </c>
    </row>
    <row r="23" spans="2:14" x14ac:dyDescent="0.3">
      <c r="B23" s="1">
        <f t="shared" ref="B23" si="6">B18+2000</f>
        <v>10000</v>
      </c>
      <c r="C23">
        <v>1E-3</v>
      </c>
      <c r="D23">
        <f t="shared" ref="D23:F23" si="7">AVERAGE(C23:C27)</f>
        <v>8.0000000000000004E-4</v>
      </c>
      <c r="E23">
        <v>1E-3</v>
      </c>
      <c r="F23">
        <f t="shared" si="7"/>
        <v>8.0000000000000004E-4</v>
      </c>
      <c r="G23">
        <v>1E-3</v>
      </c>
      <c r="H23">
        <f t="shared" ref="H23:J23" si="8">AVERAGE(G23:G27)</f>
        <v>1E-3</v>
      </c>
      <c r="I23">
        <v>1E-3</v>
      </c>
      <c r="J23">
        <f t="shared" si="8"/>
        <v>1.2000000000000001E-3</v>
      </c>
      <c r="K23">
        <v>1E-3</v>
      </c>
      <c r="L23">
        <f t="shared" ref="L23:N23" si="9">AVERAGE(K23:K27)</f>
        <v>1E-3</v>
      </c>
      <c r="M23">
        <v>1E-3</v>
      </c>
      <c r="N23">
        <f t="shared" si="9"/>
        <v>1.4E-3</v>
      </c>
    </row>
    <row r="24" spans="2:14" x14ac:dyDescent="0.3">
      <c r="B24" s="1"/>
      <c r="C24">
        <v>0</v>
      </c>
      <c r="E24">
        <v>1E-3</v>
      </c>
      <c r="G24">
        <v>1E-3</v>
      </c>
      <c r="I24">
        <v>1E-3</v>
      </c>
      <c r="K24">
        <v>1E-3</v>
      </c>
      <c r="M24">
        <v>2E-3</v>
      </c>
    </row>
    <row r="25" spans="2:14" x14ac:dyDescent="0.3">
      <c r="B25" s="1"/>
      <c r="C25">
        <v>1E-3</v>
      </c>
      <c r="E25">
        <v>1E-3</v>
      </c>
      <c r="G25">
        <v>1E-3</v>
      </c>
      <c r="I25">
        <v>1E-3</v>
      </c>
      <c r="K25">
        <v>1E-3</v>
      </c>
      <c r="M25">
        <v>2E-3</v>
      </c>
    </row>
    <row r="26" spans="2:14" x14ac:dyDescent="0.3">
      <c r="B26" s="1"/>
      <c r="C26">
        <v>1E-3</v>
      </c>
      <c r="E26">
        <v>0</v>
      </c>
      <c r="G26">
        <v>1E-3</v>
      </c>
      <c r="I26">
        <v>1E-3</v>
      </c>
      <c r="K26">
        <v>1E-3</v>
      </c>
      <c r="M26">
        <v>1E-3</v>
      </c>
    </row>
    <row r="27" spans="2:14" x14ac:dyDescent="0.3">
      <c r="B27" s="1"/>
      <c r="C27">
        <v>1E-3</v>
      </c>
      <c r="E27">
        <v>1E-3</v>
      </c>
      <c r="G27">
        <v>1E-3</v>
      </c>
      <c r="I27">
        <v>2E-3</v>
      </c>
      <c r="K27">
        <v>1E-3</v>
      </c>
      <c r="M27">
        <v>1E-3</v>
      </c>
    </row>
    <row r="28" spans="2:14" x14ac:dyDescent="0.3">
      <c r="B28" s="1">
        <f t="shared" ref="B28" si="10">B23+2000</f>
        <v>12000</v>
      </c>
      <c r="C28">
        <v>1E-3</v>
      </c>
      <c r="D28">
        <f t="shared" ref="D28:F28" si="11">AVERAGE(C28:C32)</f>
        <v>1.4E-3</v>
      </c>
      <c r="E28">
        <v>1E-3</v>
      </c>
      <c r="F28">
        <f t="shared" si="11"/>
        <v>1.6000000000000001E-3</v>
      </c>
      <c r="G28">
        <v>2E-3</v>
      </c>
      <c r="H28">
        <f t="shared" ref="H28:J28" si="12">AVERAGE(G28:G32)</f>
        <v>1.8000000000000002E-3</v>
      </c>
      <c r="I28">
        <v>2E-3</v>
      </c>
      <c r="J28">
        <f t="shared" si="12"/>
        <v>2E-3</v>
      </c>
      <c r="K28">
        <v>2E-3</v>
      </c>
      <c r="L28">
        <f t="shared" ref="L28:N28" si="13">AVERAGE(K28:K32)</f>
        <v>1.6000000000000001E-3</v>
      </c>
      <c r="M28">
        <v>3.0000000000000001E-3</v>
      </c>
      <c r="N28">
        <f t="shared" si="13"/>
        <v>3.2000000000000002E-3</v>
      </c>
    </row>
    <row r="29" spans="2:14" x14ac:dyDescent="0.3">
      <c r="B29" s="1"/>
      <c r="C29">
        <v>1E-3</v>
      </c>
      <c r="E29">
        <v>1E-3</v>
      </c>
      <c r="G29">
        <v>1E-3</v>
      </c>
      <c r="I29">
        <v>2E-3</v>
      </c>
      <c r="K29">
        <v>2E-3</v>
      </c>
      <c r="M29">
        <v>3.0000000000000001E-3</v>
      </c>
    </row>
    <row r="30" spans="2:14" x14ac:dyDescent="0.3">
      <c r="B30" s="1"/>
      <c r="C30">
        <v>1E-3</v>
      </c>
      <c r="E30">
        <v>3.0000000000000001E-3</v>
      </c>
      <c r="G30">
        <v>3.0000000000000001E-3</v>
      </c>
      <c r="I30">
        <v>2E-3</v>
      </c>
      <c r="K30">
        <v>2E-3</v>
      </c>
      <c r="M30">
        <v>4.0000000000000001E-3</v>
      </c>
    </row>
    <row r="31" spans="2:14" x14ac:dyDescent="0.3">
      <c r="B31" s="1"/>
      <c r="C31">
        <v>2E-3</v>
      </c>
      <c r="E31">
        <v>1E-3</v>
      </c>
      <c r="G31">
        <v>2E-3</v>
      </c>
      <c r="I31">
        <v>2E-3</v>
      </c>
      <c r="K31">
        <v>1E-3</v>
      </c>
      <c r="M31">
        <v>3.0000000000000001E-3</v>
      </c>
    </row>
    <row r="32" spans="2:14" x14ac:dyDescent="0.3">
      <c r="B32" s="1"/>
      <c r="C32">
        <v>2E-3</v>
      </c>
      <c r="E32">
        <v>2E-3</v>
      </c>
      <c r="G32">
        <v>1E-3</v>
      </c>
      <c r="I32">
        <v>2E-3</v>
      </c>
      <c r="K32">
        <v>1E-3</v>
      </c>
      <c r="M32">
        <v>3.0000000000000001E-3</v>
      </c>
    </row>
    <row r="33" spans="2:14" x14ac:dyDescent="0.3">
      <c r="B33" s="1">
        <f t="shared" ref="B33" si="14">B28+2000</f>
        <v>14000</v>
      </c>
      <c r="C33">
        <v>2E-3</v>
      </c>
      <c r="D33">
        <f t="shared" ref="D33:F33" si="15">AVERAGE(C33:C37)</f>
        <v>5.5999999999999999E-3</v>
      </c>
      <c r="E33">
        <v>2E-3</v>
      </c>
      <c r="F33">
        <f t="shared" si="15"/>
        <v>2E-3</v>
      </c>
      <c r="G33">
        <v>2E-3</v>
      </c>
      <c r="H33">
        <f t="shared" ref="H33:J33" si="16">AVERAGE(G33:G37)</f>
        <v>2.6000000000000003E-3</v>
      </c>
      <c r="I33">
        <v>3.0000000000000001E-3</v>
      </c>
      <c r="J33">
        <f t="shared" si="16"/>
        <v>3.0000000000000001E-3</v>
      </c>
      <c r="K33">
        <v>2E-3</v>
      </c>
      <c r="L33">
        <f t="shared" ref="L33:N33" si="17">AVERAGE(K33:K37)</f>
        <v>2E-3</v>
      </c>
      <c r="M33">
        <v>4.0000000000000001E-3</v>
      </c>
      <c r="N33">
        <f t="shared" si="17"/>
        <v>4.6000000000000008E-3</v>
      </c>
    </row>
    <row r="34" spans="2:14" x14ac:dyDescent="0.3">
      <c r="B34" s="1"/>
      <c r="C34">
        <v>2E-3</v>
      </c>
      <c r="E34">
        <v>2E-3</v>
      </c>
      <c r="G34">
        <v>3.0000000000000001E-3</v>
      </c>
      <c r="I34">
        <v>3.0000000000000001E-3</v>
      </c>
      <c r="K34">
        <v>2E-3</v>
      </c>
      <c r="M34">
        <v>4.0000000000000001E-3</v>
      </c>
    </row>
    <row r="35" spans="2:14" x14ac:dyDescent="0.3">
      <c r="B35" s="1"/>
      <c r="C35">
        <v>2E-3</v>
      </c>
      <c r="E35">
        <v>2E-3</v>
      </c>
      <c r="G35">
        <v>3.0000000000000001E-3</v>
      </c>
      <c r="I35">
        <v>3.0000000000000001E-3</v>
      </c>
      <c r="K35">
        <v>2E-3</v>
      </c>
      <c r="M35">
        <v>4.0000000000000001E-3</v>
      </c>
    </row>
    <row r="36" spans="2:14" x14ac:dyDescent="0.3">
      <c r="B36" s="1"/>
      <c r="C36">
        <v>1.4E-2</v>
      </c>
      <c r="E36">
        <v>2E-3</v>
      </c>
      <c r="G36">
        <v>2E-3</v>
      </c>
      <c r="I36">
        <v>3.0000000000000001E-3</v>
      </c>
      <c r="K36">
        <v>2E-3</v>
      </c>
      <c r="M36">
        <v>6.0000000000000001E-3</v>
      </c>
    </row>
    <row r="37" spans="2:14" x14ac:dyDescent="0.3">
      <c r="B37" s="1"/>
      <c r="C37">
        <v>8.0000000000000002E-3</v>
      </c>
      <c r="E37">
        <v>2E-3</v>
      </c>
      <c r="G37">
        <v>3.0000000000000001E-3</v>
      </c>
      <c r="I37">
        <v>3.0000000000000001E-3</v>
      </c>
      <c r="K37">
        <v>2E-3</v>
      </c>
      <c r="M37">
        <v>5.0000000000000001E-3</v>
      </c>
    </row>
    <row r="38" spans="2:14" x14ac:dyDescent="0.3">
      <c r="B38" s="1">
        <f t="shared" ref="B38" si="18">B33+2000</f>
        <v>16000</v>
      </c>
      <c r="C38">
        <v>2E-3</v>
      </c>
      <c r="D38">
        <f t="shared" ref="D38:F38" si="19">AVERAGE(C38:C42)</f>
        <v>2E-3</v>
      </c>
      <c r="E38">
        <v>3.0000000000000001E-3</v>
      </c>
      <c r="F38">
        <f t="shared" si="19"/>
        <v>5.4000000000000003E-3</v>
      </c>
      <c r="G38">
        <v>3.0000000000000001E-3</v>
      </c>
      <c r="H38">
        <f t="shared" ref="H38:J38" si="20">AVERAGE(G38:G42)</f>
        <v>2.8000000000000004E-3</v>
      </c>
      <c r="I38">
        <v>3.0000000000000001E-3</v>
      </c>
      <c r="J38">
        <f t="shared" si="20"/>
        <v>3.8E-3</v>
      </c>
      <c r="K38">
        <v>5.0000000000000001E-3</v>
      </c>
      <c r="L38">
        <f t="shared" ref="L38:N38" si="21">AVERAGE(K38:K42)</f>
        <v>3.5999999999999999E-3</v>
      </c>
      <c r="M38">
        <v>5.0000000000000001E-3</v>
      </c>
      <c r="N38">
        <f t="shared" si="21"/>
        <v>4.8000000000000004E-3</v>
      </c>
    </row>
    <row r="39" spans="2:14" x14ac:dyDescent="0.3">
      <c r="B39" s="1"/>
      <c r="C39">
        <v>2E-3</v>
      </c>
      <c r="E39">
        <v>1.7000000000000001E-2</v>
      </c>
      <c r="G39">
        <v>2E-3</v>
      </c>
      <c r="I39">
        <v>4.0000000000000001E-3</v>
      </c>
      <c r="K39">
        <v>4.0000000000000001E-3</v>
      </c>
      <c r="M39">
        <v>5.0000000000000001E-3</v>
      </c>
    </row>
    <row r="40" spans="2:14" x14ac:dyDescent="0.3">
      <c r="B40" s="1"/>
      <c r="C40">
        <v>2E-3</v>
      </c>
      <c r="E40">
        <v>3.0000000000000001E-3</v>
      </c>
      <c r="G40">
        <v>4.0000000000000001E-3</v>
      </c>
      <c r="I40">
        <v>4.0000000000000001E-3</v>
      </c>
      <c r="K40">
        <v>3.0000000000000001E-3</v>
      </c>
      <c r="M40">
        <v>4.0000000000000001E-3</v>
      </c>
    </row>
    <row r="41" spans="2:14" x14ac:dyDescent="0.3">
      <c r="B41" s="1"/>
      <c r="C41">
        <v>2E-3</v>
      </c>
      <c r="E41">
        <v>2E-3</v>
      </c>
      <c r="G41">
        <v>2E-3</v>
      </c>
      <c r="I41">
        <v>4.0000000000000001E-3</v>
      </c>
      <c r="K41">
        <v>3.0000000000000001E-3</v>
      </c>
      <c r="M41">
        <v>5.0000000000000001E-3</v>
      </c>
    </row>
    <row r="42" spans="2:14" x14ac:dyDescent="0.3">
      <c r="B42" s="1"/>
      <c r="C42">
        <v>2E-3</v>
      </c>
      <c r="E42">
        <v>2E-3</v>
      </c>
      <c r="G42">
        <v>3.0000000000000001E-3</v>
      </c>
      <c r="I42">
        <v>4.0000000000000001E-3</v>
      </c>
      <c r="K42">
        <v>3.0000000000000001E-3</v>
      </c>
      <c r="M42">
        <v>5.0000000000000001E-3</v>
      </c>
    </row>
    <row r="43" spans="2:14" x14ac:dyDescent="0.3">
      <c r="B43" s="1">
        <f t="shared" ref="B43" si="22">B38+2000</f>
        <v>18000</v>
      </c>
      <c r="C43">
        <v>3.0000000000000001E-3</v>
      </c>
      <c r="D43">
        <f t="shared" ref="D43:F43" si="23">AVERAGE(C43:C47)</f>
        <v>2.6000000000000003E-3</v>
      </c>
      <c r="E43">
        <v>2E-3</v>
      </c>
      <c r="F43">
        <f t="shared" si="23"/>
        <v>2.6000000000000003E-3</v>
      </c>
      <c r="G43">
        <v>2E-3</v>
      </c>
      <c r="H43">
        <f t="shared" ref="H43:J43" si="24">AVERAGE(G43:G47)</f>
        <v>2.6000000000000003E-3</v>
      </c>
      <c r="I43">
        <v>3.0000000000000001E-3</v>
      </c>
      <c r="J43">
        <f t="shared" si="24"/>
        <v>3.2000000000000002E-3</v>
      </c>
      <c r="K43">
        <v>2E-3</v>
      </c>
      <c r="L43">
        <f t="shared" ref="L43:N43" si="25">AVERAGE(K43:K47)</f>
        <v>2.6000000000000003E-3</v>
      </c>
      <c r="M43">
        <v>3.0000000000000001E-3</v>
      </c>
      <c r="N43">
        <f t="shared" si="25"/>
        <v>4.4000000000000003E-3</v>
      </c>
    </row>
    <row r="44" spans="2:14" x14ac:dyDescent="0.3">
      <c r="B44" s="1"/>
      <c r="C44">
        <v>2E-3</v>
      </c>
      <c r="E44">
        <v>2E-3</v>
      </c>
      <c r="G44">
        <v>2E-3</v>
      </c>
      <c r="I44">
        <v>3.0000000000000001E-3</v>
      </c>
      <c r="K44">
        <v>2E-3</v>
      </c>
      <c r="M44">
        <v>4.0000000000000001E-3</v>
      </c>
    </row>
    <row r="45" spans="2:14" x14ac:dyDescent="0.3">
      <c r="B45" s="1"/>
      <c r="C45">
        <v>2E-3</v>
      </c>
      <c r="E45">
        <v>2E-3</v>
      </c>
      <c r="G45">
        <v>3.0000000000000001E-3</v>
      </c>
      <c r="I45">
        <v>3.0000000000000001E-3</v>
      </c>
      <c r="K45">
        <v>3.0000000000000001E-3</v>
      </c>
      <c r="M45">
        <v>4.0000000000000001E-3</v>
      </c>
    </row>
    <row r="46" spans="2:14" x14ac:dyDescent="0.3">
      <c r="B46" s="1"/>
      <c r="C46">
        <v>3.0000000000000001E-3</v>
      </c>
      <c r="E46">
        <v>4.0000000000000001E-3</v>
      </c>
      <c r="G46">
        <v>3.0000000000000001E-3</v>
      </c>
      <c r="I46">
        <v>3.0000000000000001E-3</v>
      </c>
      <c r="K46">
        <v>3.0000000000000001E-3</v>
      </c>
      <c r="M46">
        <v>6.0000000000000001E-3</v>
      </c>
    </row>
    <row r="47" spans="2:14" x14ac:dyDescent="0.3">
      <c r="B47" s="1"/>
      <c r="C47">
        <v>3.0000000000000001E-3</v>
      </c>
      <c r="E47">
        <v>3.0000000000000001E-3</v>
      </c>
      <c r="G47">
        <v>3.0000000000000001E-3</v>
      </c>
      <c r="I47">
        <v>4.0000000000000001E-3</v>
      </c>
      <c r="K47">
        <v>3.0000000000000001E-3</v>
      </c>
      <c r="M47">
        <v>5.0000000000000001E-3</v>
      </c>
    </row>
    <row r="48" spans="2:14" x14ac:dyDescent="0.3">
      <c r="B48" s="1">
        <f>B43+2000</f>
        <v>20000</v>
      </c>
      <c r="C48">
        <v>3.0000000000000001E-3</v>
      </c>
      <c r="D48">
        <f t="shared" ref="D48:F48" si="26">AVERAGE(C48:C52)</f>
        <v>3.4000000000000002E-3</v>
      </c>
      <c r="E48">
        <v>4.0000000000000001E-3</v>
      </c>
      <c r="F48">
        <f t="shared" si="26"/>
        <v>3.4000000000000002E-3</v>
      </c>
      <c r="G48">
        <v>4.0000000000000001E-3</v>
      </c>
      <c r="H48">
        <f t="shared" ref="H48:J48" si="27">AVERAGE(G48:G52)</f>
        <v>4.4000000000000003E-3</v>
      </c>
      <c r="I48">
        <v>4.0000000000000001E-3</v>
      </c>
      <c r="J48">
        <f t="shared" si="27"/>
        <v>3.8E-3</v>
      </c>
      <c r="K48">
        <v>4.0000000000000001E-3</v>
      </c>
      <c r="L48">
        <f t="shared" ref="L48:N48" si="28">AVERAGE(K48:K52)</f>
        <v>3.8E-3</v>
      </c>
      <c r="M48">
        <v>6.0000000000000001E-3</v>
      </c>
      <c r="N48">
        <f t="shared" si="28"/>
        <v>5.7999999999999996E-3</v>
      </c>
    </row>
    <row r="49" spans="2:13" x14ac:dyDescent="0.3">
      <c r="B49" s="1"/>
      <c r="C49">
        <v>3.0000000000000001E-3</v>
      </c>
      <c r="E49">
        <v>3.0000000000000001E-3</v>
      </c>
      <c r="G49">
        <v>6.0000000000000001E-3</v>
      </c>
      <c r="I49">
        <v>4.0000000000000001E-3</v>
      </c>
      <c r="K49">
        <v>4.0000000000000001E-3</v>
      </c>
      <c r="M49">
        <v>6.0000000000000001E-3</v>
      </c>
    </row>
    <row r="50" spans="2:13" x14ac:dyDescent="0.3">
      <c r="B50" s="1"/>
      <c r="C50">
        <v>3.0000000000000001E-3</v>
      </c>
      <c r="E50">
        <v>3.0000000000000001E-3</v>
      </c>
      <c r="G50">
        <v>4.0000000000000001E-3</v>
      </c>
      <c r="I50">
        <v>3.0000000000000001E-3</v>
      </c>
      <c r="K50">
        <v>3.0000000000000001E-3</v>
      </c>
      <c r="M50">
        <v>5.0000000000000001E-3</v>
      </c>
    </row>
    <row r="51" spans="2:13" x14ac:dyDescent="0.3">
      <c r="B51" s="1"/>
      <c r="C51">
        <v>4.0000000000000001E-3</v>
      </c>
      <c r="E51">
        <v>4.0000000000000001E-3</v>
      </c>
      <c r="G51">
        <v>4.0000000000000001E-3</v>
      </c>
      <c r="I51">
        <v>4.0000000000000001E-3</v>
      </c>
      <c r="K51">
        <v>4.0000000000000001E-3</v>
      </c>
      <c r="M51">
        <v>6.0000000000000001E-3</v>
      </c>
    </row>
    <row r="52" spans="2:13" x14ac:dyDescent="0.3">
      <c r="B52" s="1"/>
      <c r="C52">
        <v>4.0000000000000001E-3</v>
      </c>
      <c r="E52">
        <v>3.0000000000000001E-3</v>
      </c>
      <c r="G52">
        <v>4.0000000000000001E-3</v>
      </c>
      <c r="I52">
        <v>4.0000000000000001E-3</v>
      </c>
      <c r="K52">
        <v>4.0000000000000001E-3</v>
      </c>
      <c r="M52">
        <v>6.0000000000000001E-3</v>
      </c>
    </row>
  </sheetData>
  <mergeCells count="17">
    <mergeCell ref="Q13:W13"/>
    <mergeCell ref="B43:B47"/>
    <mergeCell ref="B48:B52"/>
    <mergeCell ref="B13:B17"/>
    <mergeCell ref="B18:B22"/>
    <mergeCell ref="B23:B27"/>
    <mergeCell ref="B28:B32"/>
    <mergeCell ref="B33:B37"/>
    <mergeCell ref="B38:B42"/>
    <mergeCell ref="B3:B7"/>
    <mergeCell ref="B8:B12"/>
    <mergeCell ref="C1:D1"/>
    <mergeCell ref="E1:F1"/>
    <mergeCell ref="G1:H1"/>
    <mergeCell ref="I1:J1"/>
    <mergeCell ref="K1:L1"/>
    <mergeCell ref="M1:N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Aprile</dc:creator>
  <cp:lastModifiedBy>Andrew Aprile</cp:lastModifiedBy>
  <dcterms:created xsi:type="dcterms:W3CDTF">2025-11-20T04:28:34Z</dcterms:created>
  <dcterms:modified xsi:type="dcterms:W3CDTF">2025-11-20T05:03:08Z</dcterms:modified>
</cp:coreProperties>
</file>